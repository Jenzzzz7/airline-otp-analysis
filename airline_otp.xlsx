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y Carrier" sheetId="2" state="visible" r:id="rId4"/>
    <sheet name="By Hour" sheetId="3" state="visible" r:id="rId5"/>
    <sheet name="By Month" sheetId="4" state="visible" r:id="rId6"/>
    <sheet name="By Weekday" sheetId="5" state="visible" r:id="rId7"/>
    <sheet name="Weather &amp; Routes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<sst xmlns="http://schemas.openxmlformats.org/spreadsheetml/2006/main" count="101" uniqueCount="85">
  <si>
    <t xml:space="preserve">Airline On-Time Performance Dashboard</t>
  </si>
  <si>
    <t xml:space="preserve">336,776 flights · NYC airports (JFK/LGA/EWR), 2013 · US DOT–style operations data</t>
  </si>
  <si>
    <t xml:space="preserve">Total Flights</t>
  </si>
  <si>
    <t xml:space="preserve">Avg Arrival Delay</t>
  </si>
  <si>
    <t xml:space="preserve">% Delayed (15m+)</t>
  </si>
  <si>
    <t xml:space="preserve">Avg Cancel Rate</t>
  </si>
  <si>
    <t xml:space="preserve">Peak delay hour (dep)</t>
  </si>
  <si>
    <t xml:space="preserve">…its delay rate</t>
  </si>
  <si>
    <t xml:space="preserve">Worst month</t>
  </si>
  <si>
    <t xml:space="preserve">Key insight: delays cascade through the day — early flights run early, evening flights are worst. Late departures recover only ~7% of the time, so on-time performance is won at the gate, not in the air.</t>
  </si>
  <si>
    <t xml:space="preserve">Carrier</t>
  </si>
  <si>
    <t xml:space="preserve">Flights</t>
  </si>
  <si>
    <t xml:space="preserve">Avg Arr Delay (min)</t>
  </si>
  <si>
    <t xml:space="preserve">% Delayed 15m+</t>
  </si>
  <si>
    <t xml:space="preserve">Cancel Rate %</t>
  </si>
  <si>
    <t xml:space="preserve">Arrived (weight)</t>
  </si>
  <si>
    <t xml:space="preserve">Frontier Airlines Inc.</t>
  </si>
  <si>
    <t xml:space="preserve">AirTran Airways Corporation</t>
  </si>
  <si>
    <t xml:space="preserve">ExpressJet Airlines Inc.</t>
  </si>
  <si>
    <t xml:space="preserve">Mesa Airlines Inc.</t>
  </si>
  <si>
    <t xml:space="preserve">JetBlue Airways</t>
  </si>
  <si>
    <t xml:space="preserve">Envoy Air</t>
  </si>
  <si>
    <t xml:space="preserve">Southwest Airlines Co.</t>
  </si>
  <si>
    <t xml:space="preserve">Endeavor Air Inc.</t>
  </si>
  <si>
    <t xml:space="preserve">United Air Lines Inc.</t>
  </si>
  <si>
    <t xml:space="preserve">SkyWest Airlines Inc.</t>
  </si>
  <si>
    <t xml:space="preserve">American Airlines Inc.</t>
  </si>
  <si>
    <t xml:space="preserve">Delta Air Lines Inc.</t>
  </si>
  <si>
    <t xml:space="preserve">Virgin America</t>
  </si>
  <si>
    <t xml:space="preserve">US Airways Inc.</t>
  </si>
  <si>
    <t xml:space="preserve">Alaska Airlines Inc.</t>
  </si>
  <si>
    <t xml:space="preserve">Hawaiian Airlines Inc.</t>
  </si>
  <si>
    <t xml:space="preserve">Dep Hour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</si>
  <si>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</si>
  <si>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</si>
  <si>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</si>
  <si>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</si>
  <si>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</si>
  <si>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</si>
  <si>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</si>
  <si>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</si>
  <si>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</si>
  <si>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</si>
  <si>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</si>
  <si>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</si>
  <si>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</si>
  <si>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Weekday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</si>
  <si>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</si>
  <si>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</si>
  <si>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</si>
  <si>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</si>
  <si>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</si>
  <si>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</si>
  <si>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</si>
  <si>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Condition</t>
  </si>
  <si>
    <t xml:space="preserve">Adverse</t>
  </si>
  <si>
    <t xml:space="preserve">Normal</t>
  </si>
  <si>
    <t xml:space="preserve">Top 10 most delay-prone routes (500+ flights)</t>
  </si>
  <si>
    <t xml:space="preserve">Route</t>
  </si>
  <si>
    <t xml:space="preserve">EWR-RIC</t>
  </si>
  <si>
    <t xml:space="preserve">EWR-MKE</t>
  </si>
  <si>
    <t xml:space="preserve">JFK-CMH</t>
  </si>
  <si>
    <t xml:space="preserve">EWR-MEM</t>
  </si>
  <si>
    <t xml:space="preserve">EWR-DCA</t>
  </si>
  <si>
    <t xml:space="preserve">EWR-PWM</t>
  </si>
  <si>
    <t xml:space="preserve">EWR-JAX</t>
  </si>
  <si>
    <t xml:space="preserve">EWR-MCI</t>
  </si>
  <si>
    <t xml:space="preserve">EWR-GRR</t>
  </si>
  <si>
    <t xml:space="preserve">JFK-CVG</t>
  </si>
  <si>
    <t xml:space="preserve">Airline On-Time Performance Dashboard — Notes</t>
  </si>
  <si>
    <t xml:space="preserve">Data source: US DOT / BTS–style flight operations data (nycflights13):</t>
  </si>
  <si>
    <t xml:space="preserve">all 336,776 flights departing the three major NYC airports (JFK, LGA, EWR) in 2013,</t>
  </si>
  <si>
    <t xml:space="preserve">joined with carrier, airport and hourly weather reference tables.</t>
  </si>
  <si>
    <t xml:space="preserve">Definitions:</t>
  </si>
  <si>
    <t xml:space="preserve">• 'Delayed' = arrived 15 or more minutes late (US DOT standard).</t>
  </si>
  <si>
    <t xml:space="preserve">• Cancel rate = cancelled flights / total flights.</t>
  </si>
  <si>
    <t xml:space="preserve">• Adverse weather = precipitation &gt; 0, OR wind &gt;= 20 mph, OR visibility &lt; 5 miles (at origin).</t>
  </si>
  <si>
    <t xml:space="preserve">How this workbook is built:</t>
  </si>
  <si>
    <t xml:space="preserve">• The summary tables (By Carrier, By Hour, etc.) are aggregated from the full 336,776-row dataset.</t>
  </si>
  <si>
    <t xml:space="preserve">• The Dashboard KPI cards are LIVE FORMULAS: SUMPRODUCT weighted roll-ups and INDEX/MATCH lookups</t>
  </si>
  <si>
    <t xml:space="preserve">  over the summary tables, so they recalculate if the underlying tables change.</t>
  </si>
  <si>
    <t xml:space="preserve">• Charts are native Excel charts linked to the summary tables.</t>
  </si>
  <si>
    <t xml:space="preserve">To add PivotTables on the raw data: open data/fact_flights.csv from the project repo,</t>
  </si>
  <si>
    <t xml:space="preserve">Insert &gt; PivotTable, and follow docs/POWERBI_BUILD_GUIDE.md (Excel companion section).</t>
  </si>
  <si>
    <t xml:space="preserve">Built by Jenoah Gonsalves — github.com/Jenzzzz7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</si>
</sst>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&quot; min&quot;"/>
    <numFmt numFmtId="167" formatCode="0.0\%"/>
    <numFmt numFmtId="168" formatCode="0&quot;​:00&quot;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6DB4"/>
        <bgColor rgb="FF4A7EBB"/>
      </patternFill>
    </fill>
    <fill>
      <patternFill patternType="solid">
        <fgColor rgb="FFEAF0F7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EAF0F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B4"/>
      <rgbColor rgb="FF33CCCC"/>
      <rgbColor rgb="FF99CC00"/>
      <rgbColor rgb="FFFFCC00"/>
      <rgbColor rgb="FFFF9900"/>
      <rgbColor rgb="FFFF6600"/>
      <rgbColor rgb="FF6B7280"/>
      <rgbColor rgb="FF4F81BD"/>
      <rgbColor rgb="FF1F3A5F"/>
      <rgbColor rgb="FF4A7EBB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Delayed (15m+) by Carrier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'By Carrier'!D1</c:f>
              <c:strCache>
                <c:ptCount val="1"/>
                <c:pt idx="0">
                  <c:v>% Delayed 15m+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Carrier'!$A$2:$A$17</c:f>
              <c:strCache>
                <c:ptCount val="16"/>
                <c:pt idx="0">
                  <c:v>Frontier Airlines Inc.</c:v>
                </c:pt>
                <c:pt idx="1">
                  <c:v>AirTran Airways Corporation</c:v>
                </c:pt>
                <c:pt idx="2">
                  <c:v>ExpressJet Airlines Inc.</c:v>
                </c:pt>
                <c:pt idx="3">
                  <c:v>Mesa Airlines Inc.</c:v>
                </c:pt>
                <c:pt idx="4">
                  <c:v>JetBlue Airways</c:v>
                </c:pt>
                <c:pt idx="5">
                  <c:v>Envoy Air</c:v>
                </c:pt>
                <c:pt idx="6">
                  <c:v>Southwest Airlines Co.</c:v>
                </c:pt>
                <c:pt idx="7">
                  <c:v>Endeavor Air Inc.</c:v>
                </c:pt>
                <c:pt idx="8">
                  <c:v>United Air Lines Inc.</c:v>
                </c:pt>
                <c:pt idx="9">
                  <c:v>SkyWest Airlines Inc.</c:v>
                </c:pt>
                <c:pt idx="10">
                  <c:v>American Airlines Inc.</c:v>
                </c:pt>
                <c:pt idx="11">
                  <c:v>Delta Air Lines Inc.</c:v>
                </c:pt>
                <c:pt idx="12">
                  <c:v>Virgin America</c:v>
                </c:pt>
                <c:pt idx="13">
                  <c:v>US Airways Inc.</c:v>
                </c:pt>
                <c:pt idx="14">
                  <c:v>Alaska Airlines Inc.</c:v>
                </c:pt>
                <c:pt idx="15">
                  <c:v>Hawaiian Airlines Inc.</c:v>
                </c:pt>
              </c:strCache>
            </c:strRef>
          </c:cat>
          <c:val>
            <c:numRef>
              <c:f>'By Carrier'!$D$2:$D$17</c:f>
              <c:numCache>
                <c:formatCode>0.0\%</c:formatCode>
                <c:ptCount val="16"/>
                <c:pt idx="0">
                  <c:v>38.5401459854015</c:v>
                </c:pt>
                <c:pt idx="1">
                  <c:v>33.7423312883436</c:v>
                </c:pt>
                <c:pt idx="2">
                  <c:v>30.2715374817714</c:v>
                </c:pt>
                <c:pt idx="3">
                  <c:v>29.783693843594</c:v>
                </c:pt>
                <c:pt idx="4">
                  <c:v>26.6623959000641</c:v>
                </c:pt>
                <c:pt idx="5">
                  <c:v>26.4651286131</c:v>
                </c:pt>
                <c:pt idx="6">
                  <c:v>25.2057026476578</c:v>
                </c:pt>
                <c:pt idx="7">
                  <c:v>23.9544962080173</c:v>
                </c:pt>
                <c:pt idx="8">
                  <c:v>22.1665388221256</c:v>
                </c:pt>
                <c:pt idx="9">
                  <c:v>21.875</c:v>
                </c:pt>
                <c:pt idx="10">
                  <c:v>18.9526108344282</c:v>
                </c:pt>
                <c:pt idx="11">
                  <c:v>18.7861151527749</c:v>
                </c:pt>
                <c:pt idx="12">
                  <c:v>18.5199535063929</c:v>
                </c:pt>
                <c:pt idx="13">
                  <c:v>18.1778340475263</c:v>
                </c:pt>
                <c:pt idx="14">
                  <c:v>14.5658263305322</c:v>
                </c:pt>
                <c:pt idx="15">
                  <c:v>12.8654970760234</c:v>
                </c:pt>
              </c:numCache>
            </c:numRef>
          </c:val>
        </c:ser>
        <c:gapWidth val="150"/>
        <c:overlap val="0"/>
        <c:axId val="2936647"/>
        <c:axId val="64949001"/>
      </c:barChart>
      <c:catAx>
        <c:axId val="2936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49001"/>
        <c:crosses val="autoZero"/>
        <c:auto val="1"/>
        <c:lblAlgn val="ctr"/>
        <c:lblOffset val="100"/>
        <c:noMultiLvlLbl val="0"/>
      </c:catAx>
      <c:valAx>
        <c:axId val="64949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66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Delayed by Scheduled Departure Hour (the cascade)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'By Hour'!D1</c:f>
              <c:strCache>
                <c:ptCount val="1"/>
                <c:pt idx="0">
                  <c:v>% Delayed 15m+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Hour'!$A$2:$A$20</c:f>
              <c:strCache>
                <c:ptCount val="19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</c:strCache>
            </c:strRef>
          </c:cat>
          <c:val>
            <c:numRef>
              <c:f>'By Hour'!$D$2:$D$20</c:f>
              <c:numCache>
                <c:formatCode>0.0\%</c:formatCode>
                <c:ptCount val="19"/>
                <c:pt idx="0">
                  <c:v>10.4</c:v>
                </c:pt>
                <c:pt idx="1">
                  <c:v>11.6</c:v>
                </c:pt>
                <c:pt idx="2">
                  <c:v>11.8</c:v>
                </c:pt>
                <c:pt idx="3">
                  <c:v>16</c:v>
                </c:pt>
                <c:pt idx="4">
                  <c:v>16.8</c:v>
                </c:pt>
                <c:pt idx="5">
                  <c:v>18.1</c:v>
                </c:pt>
                <c:pt idx="6">
                  <c:v>18.1</c:v>
                </c:pt>
                <c:pt idx="7">
                  <c:v>20.2</c:v>
                </c:pt>
                <c:pt idx="8">
                  <c:v>23.1</c:v>
                </c:pt>
                <c:pt idx="9">
                  <c:v>25.7</c:v>
                </c:pt>
                <c:pt idx="10">
                  <c:v>29.3</c:v>
                </c:pt>
                <c:pt idx="11">
                  <c:v>29</c:v>
                </c:pt>
                <c:pt idx="12">
                  <c:v>32.4</c:v>
                </c:pt>
                <c:pt idx="13">
                  <c:v>32.4</c:v>
                </c:pt>
                <c:pt idx="14">
                  <c:v>33.4</c:v>
                </c:pt>
                <c:pt idx="15">
                  <c:v>34</c:v>
                </c:pt>
                <c:pt idx="16">
                  <c:v>35.9</c:v>
                </c:pt>
                <c:pt idx="17">
                  <c:v>32.9</c:v>
                </c:pt>
                <c:pt idx="18">
                  <c:v>29.6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089360"/>
        <c:axId val="8442383"/>
      </c:lineChart>
      <c:catAx>
        <c:axId val="9908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2383"/>
        <c:crosses val="autoZero"/>
        <c:auto val="1"/>
        <c:lblAlgn val="ctr"/>
        <c:lblOffset val="100"/>
        <c:noMultiLvlLbl val="0"/>
      </c:catAx>
      <c:valAx>
        <c:axId val="8442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893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Delayed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'By Month'!D1</c:f>
              <c:strCache>
                <c:ptCount val="1"/>
                <c:pt idx="0">
                  <c:v>% Delayed 15m+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Month'!$A$2:$A$13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'By Month'!$D$2:$D$13</c:f>
              <c:numCache>
                <c:formatCode>0.0\%</c:formatCode>
                <c:ptCount val="12"/>
                <c:pt idx="0">
                  <c:v>22.9632647015257</c:v>
                </c:pt>
                <c:pt idx="1">
                  <c:v>22.5041080517815</c:v>
                </c:pt>
                <c:pt idx="2">
                  <c:v>22.8410903794132</c:v>
                </c:pt>
                <c:pt idx="3">
                  <c:v>27.9738792799153</c:v>
                </c:pt>
                <c:pt idx="4">
                  <c:v>22.1419641616891</c:v>
                </c:pt>
                <c:pt idx="5">
                  <c:v>30.2198774917679</c:v>
                </c:pt>
                <c:pt idx="6">
                  <c:v>30.9668649107901</c:v>
                </c:pt>
                <c:pt idx="7">
                  <c:v>24.1177072322433</c:v>
                </c:pt>
                <c:pt idx="8">
                  <c:v>13.436570682527</c:v>
                </c:pt>
                <c:pt idx="9">
                  <c:v>17.3976253937485</c:v>
                </c:pt>
                <c:pt idx="10">
                  <c:v>17.9037699867977</c:v>
                </c:pt>
                <c:pt idx="11">
                  <c:v>32.2161009418873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581769"/>
        <c:axId val="61047170"/>
      </c:lineChart>
      <c:catAx>
        <c:axId val="17581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47170"/>
        <c:crosses val="autoZero"/>
        <c:auto val="1"/>
        <c:lblAlgn val="ctr"/>
        <c:lblOffset val="100"/>
        <c:noMultiLvlLbl val="0"/>
      </c:catAx>
      <c:valAx>
        <c:axId val="61047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817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Delayed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Weekday'!D1</c:f>
              <c:strCache>
                <c:ptCount val="1"/>
                <c:pt idx="0">
                  <c:v>% Delayed 15m+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Weekday'!$A$2:$A$8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'By Weekday'!$D$2:$D$8</c:f>
              <c:numCache>
                <c:formatCode>0.0\%</c:formatCode>
                <c:ptCount val="7"/>
                <c:pt idx="0">
                  <c:v>25.4</c:v>
                </c:pt>
                <c:pt idx="1">
                  <c:v>23.1</c:v>
                </c:pt>
                <c:pt idx="2">
                  <c:v>23.7</c:v>
                </c:pt>
                <c:pt idx="3">
                  <c:v>27.5</c:v>
                </c:pt>
                <c:pt idx="4">
                  <c:v>25.9</c:v>
                </c:pt>
                <c:pt idx="5">
                  <c:v>17.1</c:v>
                </c:pt>
                <c:pt idx="6">
                  <c:v>22.1</c:v>
                </c:pt>
              </c:numCache>
            </c:numRef>
          </c:val>
        </c:ser>
        <c:gapWidth val="150"/>
        <c:overlap val="0"/>
        <c:axId val="2669426"/>
        <c:axId val="37448992"/>
      </c:barChart>
      <c:catAx>
        <c:axId val="26694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48992"/>
        <c:crosses val="autoZero"/>
        <c:auto val="1"/>
        <c:lblAlgn val="ctr"/>
        <c:lblOffset val="100"/>
        <c:noMultiLvlLbl val="0"/>
      </c:catAx>
      <c:valAx>
        <c:axId val="37448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94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Delay rate: Adverse vs Normal weather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'Weather &amp; Routes'!D1</c:f>
              <c:strCache>
                <c:ptCount val="1"/>
                <c:pt idx="0">
                  <c:v>% Delayed 15m+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'Weather &amp; Routes'!$A$2:$A$3</c:f>
              <c:strCache>
                <c:ptCount val="2"/>
                <c:pt idx="0">
                  <c:v>Adverse</c:v>
                </c:pt>
                <c:pt idx="1">
                  <c:v>Normal</c:v>
                </c:pt>
              </c:strCache>
            </c:strRef>
          </c:cat>
          <c:val>
            <c:numRef>
              <c:f>'Weather &amp; Routes'!$D$2:$D$3</c:f>
              <c:numCache>
                <c:formatCode>0.0\%</c:formatCode>
                <c:ptCount val="2"/>
                <c:pt idx="0">
                  <c:v>36</c:v>
                </c:pt>
                <c:pt idx="1">
                  <c:v>21.6</c:v>
                </c:pt>
              </c:numCache>
            </c:numRef>
          </c:val>
        </c:ser>
        <c:gapWidth val="150"/>
        <c:overlap val="0"/>
        <c:axId val="37871733"/>
        <c:axId val="25670104"/>
      </c:barChart>
      <c:catAx>
        <c:axId val="37871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70104"/>
        <c:crosses val="autoZero"/>
        <c:auto val="1"/>
        <c:lblAlgn val="ctr"/>
        <c:lblOffset val="100"/>
        <c:noMultiLvlLbl val="0"/>
      </c:catAx>
      <c:valAx>
        <c:axId val="25670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717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711900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561600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561600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14</xdr:col>
      <xdr:colOff>256320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561600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12</xdr:col>
      <xdr:colOff>38880</xdr:colOff>
      <xdr:row>13</xdr:row>
      <xdr:rowOff>43200</xdr:rowOff>
    </xdr:to>
    <xdr:graphicFrame>
      <xdr:nvGraphicFramePr>
        <xdr:cNvPr id="4" name="Chart 1"/>
        <xdr:cNvGraphicFramePr/>
      </xdr:nvGraphicFramePr>
      <xdr:xfrm>
        <a:off x="5827320" y="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6" min="2" style="0" width="2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33.75" hidden="false" customHeight="true" outlineLevel="0" collapsed="false">
      <c r="B6" s="4" t="n">
        <f aca="false">SUM('By Carrier'!B2:B17)</f>
        <v>336776</v>
      </c>
      <c r="C6" s="5" t="n">
        <f aca="false">ROUND(SUMPRODUCT('By Carrier'!F2:F17,'By Carrier'!C2:C17)/SUM('By Carrier'!F2:F17),1)</f>
        <v>6.9</v>
      </c>
      <c r="D6" s="6" t="n">
        <f aca="false">ROUND(SUMPRODUCT('By Carrier'!B2:B17,'By Carrier'!D2:D17)/SUM('By Carrier'!B2:B17),1)</f>
        <v>23.8</v>
      </c>
      <c r="E6" s="6" t="n">
        <f aca="false">ROUND(SUMPRODUCT('By Carrier'!B2:B17,'By Carrier'!E2:E17)/SUM('By Carrier'!B2:B17),2)</f>
        <v>2.45</v>
      </c>
    </row>
    <row r="9" customFormat="false" ht="15" hidden="false" customHeight="false" outlineLevel="0" collapsed="false">
      <c r="B9" s="7" t="s">
        <v>6</v>
      </c>
      <c r="C9" s="7" t="s">
        <v>7</v>
      </c>
      <c r="D9" s="7" t="s">
        <v>8</v>
      </c>
      <c r="E9" s="7" t="s">
        <v>7</v>
      </c>
    </row>
    <row r="10" customFormat="false" ht="19.7" hidden="false" customHeight="false" outlineLevel="0" collapsed="false">
      <c r="B10" s="8" t="n">
        <f aca="false">INDEX('By Hour'!A2:A20,MATCH(MAX('By Hour'!D2:D20),'By Hour'!D2:D20,0))</f>
        <v>21</v>
      </c>
      <c r="C10" s="9" t="n">
        <f aca="false">MAX('By Hour'!D2:D20)</f>
        <v>35.9</v>
      </c>
      <c r="D10" s="10" t="str">
        <f aca="false">INDEX('By Month'!A2:A13,MATCH(MAX('By Month'!D2:D13),'By Month'!D2:D13,0))</f>
        <v>Dec</v>
      </c>
      <c r="E10" s="9" t="n">
        <f aca="false">MAX('By Month'!D2:D13)</f>
        <v>32.2161009418873</v>
      </c>
    </row>
    <row r="12" customFormat="false" ht="15" hidden="false" customHeight="true" outlineLevel="0" collapsed="false">
      <c r="B12" s="11" t="s">
        <v>9</v>
      </c>
      <c r="C12" s="11"/>
      <c r="D12" s="11"/>
      <c r="E12" s="11"/>
      <c r="F12" s="11"/>
    </row>
    <row r="13" customFormat="false" ht="15" hidden="false" customHeight="false" outlineLevel="0" collapsed="false">
      <c r="B13" s="11"/>
      <c r="C13" s="11"/>
      <c r="D13" s="11"/>
      <c r="E13" s="11"/>
      <c r="F13" s="11"/>
    </row>
  </sheetData>
  <mergeCells count="1">
    <mergeCell ref="B12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2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</row>
    <row r="2" customFormat="false" ht="15" hidden="false" customHeight="false" outlineLevel="0" collapsed="false">
      <c r="A2" s="13" t="s">
        <v>16</v>
      </c>
      <c r="B2" s="14" t="n">
        <v>685</v>
      </c>
      <c r="C2" s="15" t="n">
        <v>21.920704845815</v>
      </c>
      <c r="D2" s="16" t="n">
        <v>38.5401459854015</v>
      </c>
      <c r="E2" s="16" t="n">
        <v>0.437956204379562</v>
      </c>
      <c r="F2" s="14" t="n">
        <v>681</v>
      </c>
    </row>
    <row r="3" customFormat="false" ht="15" hidden="false" customHeight="false" outlineLevel="0" collapsed="false">
      <c r="A3" s="13" t="s">
        <v>17</v>
      </c>
      <c r="B3" s="14" t="n">
        <v>3260</v>
      </c>
      <c r="C3" s="15" t="n">
        <v>20.115905511811</v>
      </c>
      <c r="D3" s="16" t="n">
        <v>33.7423312883436</v>
      </c>
      <c r="E3" s="16" t="n">
        <v>2.23926380368098</v>
      </c>
      <c r="F3" s="14" t="n">
        <v>3175</v>
      </c>
    </row>
    <row r="4" customFormat="false" ht="15" hidden="false" customHeight="false" outlineLevel="0" collapsed="false">
      <c r="A4" s="13" t="s">
        <v>18</v>
      </c>
      <c r="B4" s="14" t="n">
        <v>54173</v>
      </c>
      <c r="C4" s="15" t="n">
        <v>15.7964310871097</v>
      </c>
      <c r="D4" s="16" t="n">
        <v>30.2715374817714</v>
      </c>
      <c r="E4" s="16" t="n">
        <v>5.20000738375205</v>
      </c>
      <c r="F4" s="14" t="n">
        <v>51108</v>
      </c>
    </row>
    <row r="5" customFormat="false" ht="15" hidden="false" customHeight="false" outlineLevel="0" collapsed="false">
      <c r="A5" s="13" t="s">
        <v>19</v>
      </c>
      <c r="B5" s="14" t="n">
        <v>601</v>
      </c>
      <c r="C5" s="15" t="n">
        <v>15.5569852941177</v>
      </c>
      <c r="D5" s="16" t="n">
        <v>29.783693843594</v>
      </c>
      <c r="E5" s="16" t="n">
        <v>9.31780366056572</v>
      </c>
      <c r="F5" s="14" t="n">
        <v>544</v>
      </c>
    </row>
    <row r="6" customFormat="false" ht="15" hidden="false" customHeight="false" outlineLevel="0" collapsed="false">
      <c r="A6" s="13" t="s">
        <v>20</v>
      </c>
      <c r="B6" s="14" t="n">
        <v>54635</v>
      </c>
      <c r="C6" s="15" t="n">
        <v>9.45797332050547</v>
      </c>
      <c r="D6" s="16" t="n">
        <v>26.6623959000641</v>
      </c>
      <c r="E6" s="16" t="n">
        <v>0.852933101491718</v>
      </c>
      <c r="F6" s="14" t="n">
        <v>54049</v>
      </c>
    </row>
    <row r="7" customFormat="false" ht="15" hidden="false" customHeight="false" outlineLevel="0" collapsed="false">
      <c r="A7" s="13" t="s">
        <v>21</v>
      </c>
      <c r="B7" s="14" t="n">
        <v>26397</v>
      </c>
      <c r="C7" s="15" t="n">
        <v>10.774733394576</v>
      </c>
      <c r="D7" s="16" t="n">
        <v>26.4651286131</v>
      </c>
      <c r="E7" s="16" t="n">
        <v>4.67477364852067</v>
      </c>
      <c r="F7" s="14" t="n">
        <v>25037</v>
      </c>
    </row>
    <row r="8" customFormat="false" ht="15" hidden="false" customHeight="false" outlineLevel="0" collapsed="false">
      <c r="A8" s="13" t="s">
        <v>22</v>
      </c>
      <c r="B8" s="14" t="n">
        <v>12275</v>
      </c>
      <c r="C8" s="15" t="n">
        <v>9.64911989372302</v>
      </c>
      <c r="D8" s="16" t="n">
        <v>25.2057026476578</v>
      </c>
      <c r="E8" s="16" t="n">
        <v>1.56415478615071</v>
      </c>
      <c r="F8" s="14" t="n">
        <v>12044</v>
      </c>
    </row>
    <row r="9" customFormat="false" ht="15" hidden="false" customHeight="false" outlineLevel="0" collapsed="false">
      <c r="A9" s="13" t="s">
        <v>23</v>
      </c>
      <c r="B9" s="14" t="n">
        <v>18460</v>
      </c>
      <c r="C9" s="15" t="n">
        <v>7.37966924945068</v>
      </c>
      <c r="D9" s="16" t="n">
        <v>23.9544962080173</v>
      </c>
      <c r="E9" s="16" t="n">
        <v>5.65547128927411</v>
      </c>
      <c r="F9" s="14" t="n">
        <v>17294</v>
      </c>
    </row>
    <row r="10" customFormat="false" ht="15" hidden="false" customHeight="false" outlineLevel="0" collapsed="false">
      <c r="A10" s="13" t="s">
        <v>24</v>
      </c>
      <c r="B10" s="14" t="n">
        <v>58665</v>
      </c>
      <c r="C10" s="15" t="n">
        <v>3.55801114533938</v>
      </c>
      <c r="D10" s="16" t="n">
        <v>22.1665388221256</v>
      </c>
      <c r="E10" s="16" t="n">
        <v>1.16935140202847</v>
      </c>
      <c r="F10" s="14" t="n">
        <v>57782</v>
      </c>
    </row>
    <row r="11" customFormat="false" ht="15" hidden="false" customHeight="false" outlineLevel="0" collapsed="false">
      <c r="A11" s="13" t="s">
        <v>25</v>
      </c>
      <c r="B11" s="14" t="n">
        <v>32</v>
      </c>
      <c r="C11" s="15" t="n">
        <v>11.9310344827586</v>
      </c>
      <c r="D11" s="16" t="n">
        <v>21.875</v>
      </c>
      <c r="E11" s="16" t="n">
        <v>9.375</v>
      </c>
      <c r="F11" s="14" t="n">
        <v>29</v>
      </c>
    </row>
    <row r="12" customFormat="false" ht="15" hidden="false" customHeight="false" outlineLevel="0" collapsed="false">
      <c r="A12" s="13" t="s">
        <v>26</v>
      </c>
      <c r="B12" s="14" t="n">
        <v>32729</v>
      </c>
      <c r="C12" s="15" t="n">
        <v>0.364290856731462</v>
      </c>
      <c r="D12" s="16" t="n">
        <v>18.9526108344282</v>
      </c>
      <c r="E12" s="16" t="n">
        <v>1.94323077393138</v>
      </c>
      <c r="F12" s="14" t="n">
        <v>31947</v>
      </c>
    </row>
    <row r="13" customFormat="false" ht="15" hidden="false" customHeight="false" outlineLevel="0" collapsed="false">
      <c r="A13" s="13" t="s">
        <v>27</v>
      </c>
      <c r="B13" s="14" t="n">
        <v>48110</v>
      </c>
      <c r="C13" s="15" t="n">
        <v>1.64434092911998</v>
      </c>
      <c r="D13" s="16" t="n">
        <v>18.7861151527749</v>
      </c>
      <c r="E13" s="16" t="n">
        <v>0.725420910413635</v>
      </c>
      <c r="F13" s="14" t="n">
        <v>47658</v>
      </c>
    </row>
    <row r="14" customFormat="false" ht="15" hidden="false" customHeight="false" outlineLevel="0" collapsed="false">
      <c r="A14" s="13" t="s">
        <v>28</v>
      </c>
      <c r="B14" s="14" t="n">
        <v>5162</v>
      </c>
      <c r="C14" s="15" t="n">
        <v>1.76446442533229</v>
      </c>
      <c r="D14" s="16" t="n">
        <v>18.5199535063929</v>
      </c>
      <c r="E14" s="16" t="n">
        <v>0.600542425416505</v>
      </c>
      <c r="F14" s="14" t="n">
        <v>5116</v>
      </c>
    </row>
    <row r="15" customFormat="false" ht="15" hidden="false" customHeight="false" outlineLevel="0" collapsed="false">
      <c r="A15" s="13" t="s">
        <v>29</v>
      </c>
      <c r="B15" s="14" t="n">
        <v>20536</v>
      </c>
      <c r="C15" s="15" t="n">
        <v>2.12959507841259</v>
      </c>
      <c r="D15" s="16" t="n">
        <v>18.1778340475263</v>
      </c>
      <c r="E15" s="16" t="n">
        <v>3.22847682119205</v>
      </c>
      <c r="F15" s="14" t="n">
        <v>19831</v>
      </c>
    </row>
    <row r="16" customFormat="false" ht="15" hidden="false" customHeight="false" outlineLevel="0" collapsed="false">
      <c r="A16" s="13" t="s">
        <v>30</v>
      </c>
      <c r="B16" s="14" t="n">
        <v>714</v>
      </c>
      <c r="C16" s="15" t="n">
        <v>-9.93088857545839</v>
      </c>
      <c r="D16" s="16" t="n">
        <v>14.5658263305322</v>
      </c>
      <c r="E16" s="16" t="n">
        <v>0.280112044817927</v>
      </c>
      <c r="F16" s="14" t="n">
        <v>709</v>
      </c>
    </row>
    <row r="17" customFormat="false" ht="15" hidden="false" customHeight="false" outlineLevel="0" collapsed="false">
      <c r="A17" s="13" t="s">
        <v>31</v>
      </c>
      <c r="B17" s="14" t="n">
        <v>342</v>
      </c>
      <c r="C17" s="15" t="n">
        <v>-6.91520467836257</v>
      </c>
      <c r="D17" s="16" t="n">
        <v>12.8654970760234</v>
      </c>
      <c r="E17" s="16" t="n">
        <v>0</v>
      </c>
      <c r="F17" s="14" t="n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2" t="s">
        <v>32</v>
      </c>
      <c r="B1" s="12" t="s">
        <v>11</v>
      </c>
      <c r="C1" s="12" t="s">
        <v>12</v>
      </c>
      <c r="D1" s="12" t="s">
        <v>13</v>
      </c>
    </row>
    <row r="2" customFormat="false" ht="15" hidden="false" customHeight="false" outlineLevel="0" collapsed="false">
      <c r="A2" s="13" t="n">
        <v>5</v>
      </c>
      <c r="B2" s="14" t="n">
        <v>1953</v>
      </c>
      <c r="C2" s="17" t="n">
        <v>-4.8</v>
      </c>
      <c r="D2" s="16" t="n">
        <v>10.4</v>
      </c>
    </row>
    <row r="3" customFormat="false" ht="15" hidden="false" customHeight="false" outlineLevel="0" collapsed="false">
      <c r="A3" s="13" t="n">
        <v>6</v>
      </c>
      <c r="B3" s="14" t="n">
        <v>25951</v>
      </c>
      <c r="C3" s="17" t="n">
        <v>-3.4</v>
      </c>
      <c r="D3" s="16" t="n">
        <v>11.6</v>
      </c>
    </row>
    <row r="4" customFormat="false" ht="15" hidden="false" customHeight="false" outlineLevel="0" collapsed="false">
      <c r="A4" s="13" t="n">
        <v>7</v>
      </c>
      <c r="B4" s="14" t="n">
        <v>22821</v>
      </c>
      <c r="C4" s="17" t="n">
        <v>-5.3</v>
      </c>
      <c r="D4" s="16" t="n">
        <v>11.8</v>
      </c>
    </row>
    <row r="5" customFormat="false" ht="15" hidden="false" customHeight="false" outlineLevel="0" collapsed="false">
      <c r="A5" s="13" t="n">
        <v>8</v>
      </c>
      <c r="B5" s="14" t="n">
        <v>27242</v>
      </c>
      <c r="C5" s="17" t="n">
        <v>-1.1</v>
      </c>
      <c r="D5" s="16" t="n">
        <v>16</v>
      </c>
    </row>
    <row r="6" customFormat="false" ht="15" hidden="false" customHeight="false" outlineLevel="0" collapsed="false">
      <c r="A6" s="13" t="n">
        <v>9</v>
      </c>
      <c r="B6" s="14" t="n">
        <v>20312</v>
      </c>
      <c r="C6" s="17" t="n">
        <v>-1.5</v>
      </c>
      <c r="D6" s="16" t="n">
        <v>16.8</v>
      </c>
    </row>
    <row r="7" customFormat="false" ht="15" hidden="false" customHeight="false" outlineLevel="0" collapsed="false">
      <c r="A7" s="13" t="n">
        <v>10</v>
      </c>
      <c r="B7" s="14" t="n">
        <v>16708</v>
      </c>
      <c r="C7" s="17" t="n">
        <v>1</v>
      </c>
      <c r="D7" s="16" t="n">
        <v>18.1</v>
      </c>
    </row>
    <row r="8" customFormat="false" ht="15" hidden="false" customHeight="false" outlineLevel="0" collapsed="false">
      <c r="A8" s="13" t="n">
        <v>11</v>
      </c>
      <c r="B8" s="14" t="n">
        <v>16033</v>
      </c>
      <c r="C8" s="17" t="n">
        <v>1.5</v>
      </c>
      <c r="D8" s="16" t="n">
        <v>18.1</v>
      </c>
    </row>
    <row r="9" customFormat="false" ht="15" hidden="false" customHeight="false" outlineLevel="0" collapsed="false">
      <c r="A9" s="13" t="n">
        <v>12</v>
      </c>
      <c r="B9" s="14" t="n">
        <v>18181</v>
      </c>
      <c r="C9" s="17" t="n">
        <v>3.5</v>
      </c>
      <c r="D9" s="16" t="n">
        <v>20.2</v>
      </c>
    </row>
    <row r="10" customFormat="false" ht="15" hidden="false" customHeight="false" outlineLevel="0" collapsed="false">
      <c r="A10" s="13" t="n">
        <v>13</v>
      </c>
      <c r="B10" s="14" t="n">
        <v>19956</v>
      </c>
      <c r="C10" s="17" t="n">
        <v>6.5</v>
      </c>
      <c r="D10" s="16" t="n">
        <v>23.1</v>
      </c>
    </row>
    <row r="11" customFormat="false" ht="15" hidden="false" customHeight="false" outlineLevel="0" collapsed="false">
      <c r="A11" s="13" t="n">
        <v>14</v>
      </c>
      <c r="B11" s="14" t="n">
        <v>21706</v>
      </c>
      <c r="C11" s="17" t="n">
        <v>9.2</v>
      </c>
      <c r="D11" s="16" t="n">
        <v>25.7</v>
      </c>
    </row>
    <row r="12" customFormat="false" ht="15" hidden="false" customHeight="false" outlineLevel="0" collapsed="false">
      <c r="A12" s="13" t="n">
        <v>15</v>
      </c>
      <c r="B12" s="14" t="n">
        <v>23888</v>
      </c>
      <c r="C12" s="17" t="n">
        <v>12.3</v>
      </c>
      <c r="D12" s="16" t="n">
        <v>29.3</v>
      </c>
    </row>
    <row r="13" customFormat="false" ht="15" hidden="false" customHeight="false" outlineLevel="0" collapsed="false">
      <c r="A13" s="13" t="n">
        <v>16</v>
      </c>
      <c r="B13" s="14" t="n">
        <v>23002</v>
      </c>
      <c r="C13" s="17" t="n">
        <v>12.6</v>
      </c>
      <c r="D13" s="16" t="n">
        <v>29</v>
      </c>
    </row>
    <row r="14" customFormat="false" ht="15" hidden="false" customHeight="false" outlineLevel="0" collapsed="false">
      <c r="A14" s="13" t="n">
        <v>17</v>
      </c>
      <c r="B14" s="14" t="n">
        <v>24426</v>
      </c>
      <c r="C14" s="17" t="n">
        <v>16</v>
      </c>
      <c r="D14" s="16" t="n">
        <v>32.4</v>
      </c>
    </row>
    <row r="15" customFormat="false" ht="15" hidden="false" customHeight="false" outlineLevel="0" collapsed="false">
      <c r="A15" s="13" t="n">
        <v>18</v>
      </c>
      <c r="B15" s="14" t="n">
        <v>21783</v>
      </c>
      <c r="C15" s="17" t="n">
        <v>14.8</v>
      </c>
      <c r="D15" s="16" t="n">
        <v>32.4</v>
      </c>
    </row>
    <row r="16" customFormat="false" ht="15" hidden="false" customHeight="false" outlineLevel="0" collapsed="false">
      <c r="A16" s="13" t="n">
        <v>19</v>
      </c>
      <c r="B16" s="14" t="n">
        <v>21441</v>
      </c>
      <c r="C16" s="17" t="n">
        <v>16.7</v>
      </c>
      <c r="D16" s="16" t="n">
        <v>33.4</v>
      </c>
    </row>
    <row r="17" customFormat="false" ht="15" hidden="false" customHeight="false" outlineLevel="0" collapsed="false">
      <c r="A17" s="13" t="n">
        <v>20</v>
      </c>
      <c r="B17" s="14" t="n">
        <v>16739</v>
      </c>
      <c r="C17" s="17" t="n">
        <v>16.7</v>
      </c>
      <c r="D17" s="16" t="n">
        <v>34</v>
      </c>
    </row>
    <row r="18" customFormat="false" ht="15" hidden="false" customHeight="false" outlineLevel="0" collapsed="false">
      <c r="A18" s="13" t="n">
        <v>21</v>
      </c>
      <c r="B18" s="14" t="n">
        <v>10933</v>
      </c>
      <c r="C18" s="17" t="n">
        <v>18.4</v>
      </c>
      <c r="D18" s="16" t="n">
        <v>35.9</v>
      </c>
    </row>
    <row r="19" customFormat="false" ht="15" hidden="false" customHeight="false" outlineLevel="0" collapsed="false">
      <c r="A19" s="13" t="n">
        <v>22</v>
      </c>
      <c r="B19" s="14" t="n">
        <v>2639</v>
      </c>
      <c r="C19" s="17" t="n">
        <v>16</v>
      </c>
      <c r="D19" s="16" t="n">
        <v>32.9</v>
      </c>
    </row>
    <row r="20" customFormat="false" ht="15" hidden="false" customHeight="false" outlineLevel="0" collapsed="false">
      <c r="A20" s="13" t="n">
        <v>23</v>
      </c>
      <c r="B20" s="14" t="n">
        <v>1061</v>
      </c>
      <c r="C20" s="17" t="n">
        <v>11.8</v>
      </c>
      <c r="D20" s="16" t="n">
        <v>29.6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2" t="s">
        <v>33</v>
      </c>
      <c r="B1" s="12" t="s">
        <v>11</v>
      </c>
      <c r="C1" s="12" t="s">
        <v>12</v>
      </c>
      <c r="D1" s="12" t="s">
        <v>13</v>
      </c>
    </row>
    <row r="2" customFormat="false" ht="15" hidden="false" customHeight="false" outlineLevel="0" collapsed="false">
      <c r="A2" s="13" t="s">
        <v>34</v>
      </c>
      <c r="B2" s="14" t="n">
        <v>27004</v>
      </c>
      <c r="C2" s="15" t="n">
        <v>6.1299719675733</v>
      </c>
      <c r="D2" s="16" t="n">
        <v>22.9632647015257</v>
      </c>
    </row>
    <row r="3" customFormat="false" ht="15" hidden="false" customHeight="false" outlineLevel="0" collapsed="false">
      <c r="A3" s="13" t="s">
        <v>35</v>
      </c>
      <c r="B3" s="14" t="n">
        <v>24951</v>
      </c>
      <c r="C3" s="15" t="n">
        <v>5.6130193553852</v>
      </c>
      <c r="D3" s="16" t="n">
        <v>22.5041080517815</v>
      </c>
    </row>
    <row r="4" customFormat="false" ht="15" hidden="false" customHeight="false" outlineLevel="0" collapsed="false">
      <c r="A4" s="13" t="s">
        <v>36</v>
      </c>
      <c r="B4" s="14" t="n">
        <v>28834</v>
      </c>
      <c r="C4" s="15" t="n">
        <v>5.80757651781234</v>
      </c>
      <c r="D4" s="16" t="n">
        <v>22.8410903794132</v>
      </c>
    </row>
    <row r="5" customFormat="false" ht="15" hidden="false" customHeight="false" outlineLevel="0" collapsed="false">
      <c r="A5" s="13" t="s">
        <v>37</v>
      </c>
      <c r="B5" s="14" t="n">
        <v>28330</v>
      </c>
      <c r="C5" s="15" t="n">
        <v>11.1760629806995</v>
      </c>
      <c r="D5" s="16" t="n">
        <v>27.9738792799153</v>
      </c>
    </row>
    <row r="6" customFormat="false" ht="15" hidden="false" customHeight="false" outlineLevel="0" collapsed="false">
      <c r="A6" s="13" t="s">
        <v>38</v>
      </c>
      <c r="B6" s="14" t="n">
        <v>28796</v>
      </c>
      <c r="C6" s="15" t="n">
        <v>3.52150881683732</v>
      </c>
      <c r="D6" s="16" t="n">
        <v>22.1419641616891</v>
      </c>
    </row>
    <row r="7" customFormat="false" ht="15" hidden="false" customHeight="false" outlineLevel="0" collapsed="false">
      <c r="A7" s="13" t="s">
        <v>39</v>
      </c>
      <c r="B7" s="14" t="n">
        <v>28243</v>
      </c>
      <c r="C7" s="15" t="n">
        <v>16.4813296398892</v>
      </c>
      <c r="D7" s="16" t="n">
        <v>30.2198774917679</v>
      </c>
    </row>
    <row r="8" customFormat="false" ht="15" hidden="false" customHeight="false" outlineLevel="0" collapsed="false">
      <c r="A8" s="13" t="s">
        <v>40</v>
      </c>
      <c r="B8" s="14" t="n">
        <v>29425</v>
      </c>
      <c r="C8" s="15" t="n">
        <v>16.711306683632</v>
      </c>
      <c r="D8" s="16" t="n">
        <v>30.9668649107901</v>
      </c>
    </row>
    <row r="9" customFormat="false" ht="15" hidden="false" customHeight="false" outlineLevel="0" collapsed="false">
      <c r="A9" s="13" t="s">
        <v>41</v>
      </c>
      <c r="B9" s="14" t="n">
        <v>29327</v>
      </c>
      <c r="C9" s="15" t="n">
        <v>6.0406523855891</v>
      </c>
      <c r="D9" s="16" t="n">
        <v>24.1177072322433</v>
      </c>
    </row>
    <row r="10" customFormat="false" ht="15" hidden="false" customHeight="false" outlineLevel="0" collapsed="false">
      <c r="A10" s="13" t="s">
        <v>42</v>
      </c>
      <c r="B10" s="14" t="n">
        <v>27574</v>
      </c>
      <c r="C10" s="15" t="n">
        <v>-4.0183635690485</v>
      </c>
      <c r="D10" s="16" t="n">
        <v>13.436570682527</v>
      </c>
    </row>
    <row r="11" customFormat="false" ht="15" hidden="false" customHeight="false" outlineLevel="0" collapsed="false">
      <c r="A11" s="13" t="s">
        <v>43</v>
      </c>
      <c r="B11" s="14" t="n">
        <v>28889</v>
      </c>
      <c r="C11" s="15" t="n">
        <v>-0.167062687818855</v>
      </c>
      <c r="D11" s="16" t="n">
        <v>17.3976253937485</v>
      </c>
    </row>
    <row r="12" customFormat="false" ht="15" hidden="false" customHeight="false" outlineLevel="0" collapsed="false">
      <c r="A12" s="13" t="s">
        <v>44</v>
      </c>
      <c r="B12" s="14" t="n">
        <v>27268</v>
      </c>
      <c r="C12" s="15" t="n">
        <v>0.461347373104446</v>
      </c>
      <c r="D12" s="16" t="n">
        <v>17.9037699867977</v>
      </c>
    </row>
    <row r="13" customFormat="false" ht="15" hidden="false" customHeight="false" outlineLevel="0" collapsed="false">
      <c r="A13" s="13" t="s">
        <v>45</v>
      </c>
      <c r="B13" s="14" t="n">
        <v>28135</v>
      </c>
      <c r="C13" s="15" t="n">
        <v>14.870355292376</v>
      </c>
      <c r="D13" s="16" t="n">
        <v>32.2161009418873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2" t="s">
        <v>46</v>
      </c>
      <c r="B1" s="12" t="s">
        <v>11</v>
      </c>
      <c r="C1" s="12" t="s">
        <v>12</v>
      </c>
      <c r="D1" s="12" t="s">
        <v>13</v>
      </c>
    </row>
    <row r="2" customFormat="false" ht="15" hidden="false" customHeight="false" outlineLevel="0" collapsed="false">
      <c r="A2" s="13" t="s">
        <v>47</v>
      </c>
      <c r="B2" s="14" t="n">
        <v>50690</v>
      </c>
      <c r="C2" s="17" t="n">
        <v>9.7</v>
      </c>
      <c r="D2" s="16" t="n">
        <v>25.4</v>
      </c>
    </row>
    <row r="3" customFormat="false" ht="15" hidden="false" customHeight="false" outlineLevel="0" collapsed="false">
      <c r="A3" s="13" t="s">
        <v>48</v>
      </c>
      <c r="B3" s="14" t="n">
        <v>50422</v>
      </c>
      <c r="C3" s="17" t="n">
        <v>5.4</v>
      </c>
      <c r="D3" s="16" t="n">
        <v>23.1</v>
      </c>
    </row>
    <row r="4" customFormat="false" ht="15" hidden="false" customHeight="false" outlineLevel="0" collapsed="false">
      <c r="A4" s="13" t="s">
        <v>49</v>
      </c>
      <c r="B4" s="14" t="n">
        <v>50060</v>
      </c>
      <c r="C4" s="17" t="n">
        <v>7.1</v>
      </c>
      <c r="D4" s="16" t="n">
        <v>23.7</v>
      </c>
    </row>
    <row r="5" customFormat="false" ht="15" hidden="false" customHeight="false" outlineLevel="0" collapsed="false">
      <c r="A5" s="13" t="s">
        <v>50</v>
      </c>
      <c r="B5" s="14" t="n">
        <v>50219</v>
      </c>
      <c r="C5" s="17" t="n">
        <v>11.7</v>
      </c>
      <c r="D5" s="16" t="n">
        <v>27.5</v>
      </c>
    </row>
    <row r="6" customFormat="false" ht="15" hidden="false" customHeight="false" outlineLevel="0" collapsed="false">
      <c r="A6" s="13" t="s">
        <v>51</v>
      </c>
      <c r="B6" s="14" t="n">
        <v>50308</v>
      </c>
      <c r="C6" s="17" t="n">
        <v>9.1</v>
      </c>
      <c r="D6" s="16" t="n">
        <v>25.9</v>
      </c>
    </row>
    <row r="7" customFormat="false" ht="15" hidden="false" customHeight="false" outlineLevel="0" collapsed="false">
      <c r="A7" s="13" t="s">
        <v>52</v>
      </c>
      <c r="B7" s="14" t="n">
        <v>38720</v>
      </c>
      <c r="C7" s="17" t="n">
        <v>-1.4</v>
      </c>
      <c r="D7" s="16" t="n">
        <v>17.1</v>
      </c>
    </row>
    <row r="8" customFormat="false" ht="15" hidden="false" customHeight="false" outlineLevel="0" collapsed="false">
      <c r="A8" s="13" t="s">
        <v>53</v>
      </c>
      <c r="B8" s="14" t="n">
        <v>46357</v>
      </c>
      <c r="C8" s="17" t="n">
        <v>4.8</v>
      </c>
      <c r="D8" s="16" t="n">
        <v>22.1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2" t="s">
        <v>54</v>
      </c>
      <c r="B1" s="12" t="s">
        <v>11</v>
      </c>
      <c r="C1" s="12" t="s">
        <v>12</v>
      </c>
      <c r="D1" s="12" t="s">
        <v>13</v>
      </c>
    </row>
    <row r="2" customFormat="false" ht="15" hidden="false" customHeight="false" outlineLevel="0" collapsed="false">
      <c r="A2" s="13" t="s">
        <v>55</v>
      </c>
      <c r="B2" s="14" t="n">
        <v>50260</v>
      </c>
      <c r="C2" s="17" t="n">
        <v>22.2</v>
      </c>
      <c r="D2" s="16" t="n">
        <v>36</v>
      </c>
    </row>
    <row r="3" customFormat="false" ht="15" hidden="false" customHeight="false" outlineLevel="0" collapsed="false">
      <c r="A3" s="13" t="s">
        <v>56</v>
      </c>
      <c r="B3" s="14" t="n">
        <v>284960</v>
      </c>
      <c r="C3" s="17" t="n">
        <v>4.3</v>
      </c>
      <c r="D3" s="16" t="n">
        <v>21.6</v>
      </c>
    </row>
    <row r="5" customFormat="false" ht="15" hidden="false" customHeight="false" outlineLevel="0" collapsed="false">
      <c r="A5" s="18" t="s">
        <v>57</v>
      </c>
    </row>
    <row r="6" customFormat="false" ht="15" hidden="false" customHeight="false" outlineLevel="0" collapsed="false">
      <c r="A6" s="12" t="s">
        <v>58</v>
      </c>
      <c r="B6" s="12" t="s">
        <v>11</v>
      </c>
      <c r="C6" s="12" t="s">
        <v>12</v>
      </c>
      <c r="D6" s="12" t="s">
        <v>13</v>
      </c>
    </row>
    <row r="7" customFormat="false" ht="15" hidden="false" customHeight="false" outlineLevel="0" collapsed="false">
      <c r="A7" s="13" t="s">
        <v>59</v>
      </c>
      <c r="B7" s="14" t="n">
        <v>1667</v>
      </c>
      <c r="C7" s="17" t="n">
        <v>25.8</v>
      </c>
      <c r="D7" s="16" t="n">
        <v>39.5</v>
      </c>
    </row>
    <row r="8" customFormat="false" ht="15" hidden="false" customHeight="false" outlineLevel="0" collapsed="false">
      <c r="A8" s="13" t="s">
        <v>60</v>
      </c>
      <c r="B8" s="14" t="n">
        <v>1094</v>
      </c>
      <c r="C8" s="17" t="n">
        <v>24</v>
      </c>
      <c r="D8" s="16" t="n">
        <v>37.4</v>
      </c>
    </row>
    <row r="9" customFormat="false" ht="15" hidden="false" customHeight="false" outlineLevel="0" collapsed="false">
      <c r="A9" s="13" t="s">
        <v>61</v>
      </c>
      <c r="B9" s="14" t="n">
        <v>742</v>
      </c>
      <c r="C9" s="17" t="n">
        <v>22.9</v>
      </c>
      <c r="D9" s="16" t="n">
        <v>36.5</v>
      </c>
    </row>
    <row r="10" customFormat="false" ht="15" hidden="false" customHeight="false" outlineLevel="0" collapsed="false">
      <c r="A10" s="13" t="s">
        <v>62</v>
      </c>
      <c r="B10" s="14" t="n">
        <v>926</v>
      </c>
      <c r="C10" s="17" t="n">
        <v>19.9</v>
      </c>
      <c r="D10" s="16" t="n">
        <v>36.3</v>
      </c>
    </row>
    <row r="11" customFormat="false" ht="15" hidden="false" customHeight="false" outlineLevel="0" collapsed="false">
      <c r="A11" s="13" t="s">
        <v>63</v>
      </c>
      <c r="B11" s="14" t="n">
        <v>1719</v>
      </c>
      <c r="C11" s="17" t="n">
        <v>21.3</v>
      </c>
      <c r="D11" s="16" t="n">
        <v>35.8</v>
      </c>
    </row>
    <row r="12" customFormat="false" ht="15" hidden="false" customHeight="false" outlineLevel="0" collapsed="false">
      <c r="A12" s="13" t="s">
        <v>64</v>
      </c>
      <c r="B12" s="14" t="n">
        <v>770</v>
      </c>
      <c r="C12" s="17" t="n">
        <v>23</v>
      </c>
      <c r="D12" s="16" t="n">
        <v>35.3</v>
      </c>
    </row>
    <row r="13" customFormat="false" ht="15" hidden="false" customHeight="false" outlineLevel="0" collapsed="false">
      <c r="A13" s="13" t="s">
        <v>65</v>
      </c>
      <c r="B13" s="14" t="n">
        <v>1242</v>
      </c>
      <c r="C13" s="17" t="n">
        <v>16</v>
      </c>
      <c r="D13" s="16" t="n">
        <v>35</v>
      </c>
    </row>
    <row r="14" customFormat="false" ht="15" hidden="false" customHeight="false" outlineLevel="0" collapsed="false">
      <c r="A14" s="13" t="s">
        <v>66</v>
      </c>
      <c r="B14" s="14" t="n">
        <v>1356</v>
      </c>
      <c r="C14" s="17" t="n">
        <v>20.2</v>
      </c>
      <c r="D14" s="16" t="n">
        <v>34.9</v>
      </c>
    </row>
    <row r="15" customFormat="false" ht="15" hidden="false" customHeight="false" outlineLevel="0" collapsed="false">
      <c r="A15" s="13" t="s">
        <v>67</v>
      </c>
      <c r="B15" s="14" t="n">
        <v>719</v>
      </c>
      <c r="C15" s="17" t="n">
        <v>19.4</v>
      </c>
      <c r="D15" s="16" t="n">
        <v>34.5</v>
      </c>
    </row>
    <row r="16" customFormat="false" ht="15" hidden="false" customHeight="false" outlineLevel="0" collapsed="false">
      <c r="A16" s="13" t="s">
        <v>68</v>
      </c>
      <c r="B16" s="14" t="n">
        <v>997</v>
      </c>
      <c r="C16" s="17" t="n">
        <v>19.1</v>
      </c>
      <c r="D16" s="16" t="n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9" t="s">
        <v>69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70</v>
      </c>
    </row>
    <row r="4" customFormat="false" ht="15" hidden="false" customHeight="false" outlineLevel="0" collapsed="false">
      <c r="A4" s="20" t="s">
        <v>71</v>
      </c>
    </row>
    <row r="5" customFormat="false" ht="15" hidden="false" customHeight="false" outlineLevel="0" collapsed="false">
      <c r="A5" s="20" t="s">
        <v>72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1" t="s">
        <v>73</v>
      </c>
    </row>
    <row r="8" customFormat="false" ht="15" hidden="false" customHeight="false" outlineLevel="0" collapsed="false">
      <c r="A8" s="20" t="s">
        <v>74</v>
      </c>
    </row>
    <row r="9" customFormat="false" ht="15" hidden="false" customHeight="false" outlineLevel="0" collapsed="false">
      <c r="A9" s="20" t="s">
        <v>75</v>
      </c>
    </row>
    <row r="10" customFormat="false" ht="15" hidden="false" customHeight="false" outlineLevel="0" collapsed="false">
      <c r="A10" s="20" t="s">
        <v>76</v>
      </c>
    </row>
    <row r="11" customFormat="false" ht="15" hidden="false" customHeight="false" outlineLevel="0" collapsed="false">
      <c r="A11" s="20"/>
    </row>
    <row r="12" customFormat="false" ht="15" hidden="false" customHeight="false" outlineLevel="0" collapsed="false">
      <c r="A12" s="21" t="s">
        <v>77</v>
      </c>
    </row>
    <row r="13" customFormat="false" ht="15" hidden="false" customHeight="false" outlineLevel="0" collapsed="false">
      <c r="A13" s="20" t="s">
        <v>78</v>
      </c>
    </row>
    <row r="14" customFormat="false" ht="15" hidden="false" customHeight="false" outlineLevel="0" collapsed="false">
      <c r="A14" s="20" t="s">
        <v>79</v>
      </c>
    </row>
    <row r="15" customFormat="false" ht="15" hidden="false" customHeight="false" outlineLevel="0" collapsed="false">
      <c r="A15" s="20" t="s">
        <v>80</v>
      </c>
    </row>
    <row r="16" customFormat="false" ht="15" hidden="false" customHeight="false" outlineLevel="0" collapsed="false">
      <c r="A16" s="20" t="s">
        <v>81</v>
      </c>
    </row>
    <row r="17" customFormat="false" ht="15" hidden="false" customHeight="false" outlineLevel="0" collapsed="false">
      <c r="A17" s="20"/>
    </row>
    <row r="18" customFormat="false" ht="15" hidden="false" customHeight="false" outlineLevel="0" collapsed="false">
      <c r="A18" s="20" t="s">
        <v>82</v>
      </c>
    </row>
    <row r="19" customFormat="false" ht="15" hidden="false" customHeight="false" outlineLevel="0" collapsed="false">
      <c r="A19" s="20" t="s">
        <v>83</v>
      </c>
    </row>
    <row r="20" customFormat="false" ht="15" hidden="false" customHeight="false" outlineLevel="0" collapsed="false">
      <c r="A20" s="20"/>
    </row>
    <row r="21" customFormat="false" ht="15" hidden="false" customHeight="false" outlineLevel="0" collapsed="false">
      <c r="A21" s="2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2026-10-26T13:33:34Z</dcterms:created>
  <dc:creator>openpyxl</dc:creator>
  <dc:description/>
  <dc:language>en-US</dc:language>
  <cp:lastModifiedBy/>
  <dcterms:modified xsi:type="dcterms:W3CDTF">2026-10-26T13:33:36Z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